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my-data\CTU\Luan_van_tot_nghiep\"/>
    </mc:Choice>
  </mc:AlternateContent>
  <xr:revisionPtr revIDLastSave="0" documentId="13_ncr:1_{64AC3684-2B75-4A1C-A94E-D09A72E7FE22}" xr6:coauthVersionLast="47" xr6:coauthVersionMax="47" xr10:uidLastSave="{00000000-0000-0000-0000-000000000000}"/>
  <bookViews>
    <workbookView xWindow="-110" yWindow="-110" windowWidth="19420" windowHeight="10300" xr2:uid="{BD41FCEB-DD92-4B4E-900D-D975A3596F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  <c r="D22" i="1"/>
  <c r="E22" i="1"/>
  <c r="F22" i="1"/>
  <c r="G22" i="1"/>
  <c r="H22" i="1"/>
  <c r="J22" i="1"/>
  <c r="B22" i="1"/>
  <c r="I2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</calcChain>
</file>

<file path=xl/sharedStrings.xml><?xml version="1.0" encoding="utf-8"?>
<sst xmlns="http://schemas.openxmlformats.org/spreadsheetml/2006/main" count="10" uniqueCount="10">
  <si>
    <t>Clustering</t>
  </si>
  <si>
    <t>Captioning</t>
  </si>
  <si>
    <t>VideoDuration</t>
  </si>
  <si>
    <t>GMVGen</t>
  </si>
  <si>
    <t>TotalofMySystem</t>
  </si>
  <si>
    <t>AVG</t>
  </si>
  <si>
    <t>Scene Detection</t>
  </si>
  <si>
    <t>Music Feature Suggestion and Prompt Preparation</t>
  </si>
  <si>
    <t>Music Generation</t>
  </si>
  <si>
    <t>Video Rendering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</si>
</sst>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" fontId="0" fillId="0" borderId="0" xfId="0" applyNumberForma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B1C80-9879-47D9-9B52-0DCB9F50667C}">
  <dimension ref="A1:J23"/>
  <sheetViews>
    <sheetView tabSelected="1" zoomScale="80" zoomScaleNormal="80" workbookViewId="0">
      <selection activeCell="K17" sqref="K17"/>
    </sheetView>
  </sheetViews>
  <sheetFormatPr defaultRowHeight="14" x14ac:dyDescent="0.3"/>
  <cols>
    <col min="1" max="1" width="4.6640625" bestFit="1" customWidth="1"/>
    <col min="2" max="2" width="12.25" bestFit="1" customWidth="1"/>
    <col min="3" max="3" width="13.33203125" bestFit="1" customWidth="1"/>
    <col min="4" max="4" width="8.6640625" bestFit="1" customWidth="1"/>
    <col min="5" max="5" width="9.33203125" bestFit="1" customWidth="1"/>
    <col min="6" max="6" width="39.33203125" bestFit="1" customWidth="1"/>
    <col min="7" max="7" width="14.4140625" bestFit="1" customWidth="1"/>
    <col min="8" max="8" width="13.75" bestFit="1" customWidth="1"/>
    <col min="9" max="9" width="15.1640625" bestFit="1" customWidth="1"/>
  </cols>
  <sheetData>
    <row r="1" spans="1:10" x14ac:dyDescent="0.3">
      <c r="B1" t="s">
        <v>2</v>
      </c>
      <c r="C1" t="s">
        <v>6</v>
      </c>
      <c r="D1" t="s">
        <v>0</v>
      </c>
      <c r="E1" t="s">
        <v>1</v>
      </c>
      <c r="F1" t="s">
        <v>7</v>
      </c>
      <c r="G1" t="s">
        <v>8</v>
      </c>
      <c r="H1" t="s">
        <v>9</v>
      </c>
      <c r="I1" t="s">
        <v>4</v>
      </c>
      <c r="J1" t="s">
        <v>3</v>
      </c>
    </row>
    <row r="2" spans="1:10" x14ac:dyDescent="0.3">
      <c r="A2">
        <v>0</v>
      </c>
      <c r="B2" s="1">
        <v>212.167</v>
      </c>
      <c r="C2" s="1">
        <v>14.293082952499301</v>
      </c>
      <c r="D2" s="1">
        <v>70.864825248718205</v>
      </c>
      <c r="E2" s="1">
        <v>476.91046571731499</v>
      </c>
      <c r="F2" s="1">
        <v>57.698445320129302</v>
      </c>
      <c r="G2" s="1">
        <v>861</v>
      </c>
      <c r="H2" s="1">
        <v>327.34663295745008</v>
      </c>
      <c r="I2" s="1">
        <f>SUM(B2:H2)</f>
        <v>2020.2804521961118</v>
      </c>
      <c r="J2">
        <v>9316</v>
      </c>
    </row>
    <row r="3" spans="1:10" x14ac:dyDescent="0.3">
      <c r="A3">
        <v>1</v>
      </c>
      <c r="B3" s="1">
        <v>168.417</v>
      </c>
      <c r="C3" s="1">
        <v>7.3355808258056596</v>
      </c>
      <c r="D3" s="1">
        <v>26.2473707199096</v>
      </c>
      <c r="E3" s="1">
        <v>373.65547919273303</v>
      </c>
      <c r="F3" s="1">
        <v>45.266930341720503</v>
      </c>
      <c r="G3" s="1">
        <v>668</v>
      </c>
      <c r="H3" s="1">
        <v>185.24226117134003</v>
      </c>
      <c r="I3" s="1">
        <f t="shared" ref="I3:I21" si="0">SUM(B3:H3)</f>
        <v>1474.1646222515087</v>
      </c>
      <c r="J3">
        <v>7131</v>
      </c>
    </row>
    <row r="4" spans="1:10" x14ac:dyDescent="0.3">
      <c r="A4">
        <v>2</v>
      </c>
      <c r="B4" s="1">
        <v>239.72300000000001</v>
      </c>
      <c r="C4" s="1">
        <v>14.458311796188299</v>
      </c>
      <c r="D4" s="1">
        <v>66.379601478576603</v>
      </c>
      <c r="E4" s="1">
        <v>545.39255547523499</v>
      </c>
      <c r="F4" s="1">
        <v>74.470679759979205</v>
      </c>
      <c r="G4" s="1">
        <v>913</v>
      </c>
      <c r="H4" s="1">
        <v>286.13976955413</v>
      </c>
      <c r="I4" s="1">
        <f t="shared" si="0"/>
        <v>2139.5639180641092</v>
      </c>
      <c r="J4">
        <v>10188</v>
      </c>
    </row>
    <row r="5" spans="1:10" x14ac:dyDescent="0.3">
      <c r="A5">
        <v>3</v>
      </c>
      <c r="B5" s="1">
        <v>213.25299999999999</v>
      </c>
      <c r="C5" s="1">
        <v>13.7594883441925</v>
      </c>
      <c r="D5" s="1">
        <v>55.729108333587597</v>
      </c>
      <c r="E5" s="1">
        <v>476.95612835883998</v>
      </c>
      <c r="F5" s="1">
        <v>59.300148487091001</v>
      </c>
      <c r="G5" s="1">
        <v>972.62</v>
      </c>
      <c r="H5" s="1">
        <v>1172.2424367713902</v>
      </c>
      <c r="I5" s="1">
        <f t="shared" si="0"/>
        <v>2963.860310295101</v>
      </c>
      <c r="J5">
        <v>9096</v>
      </c>
    </row>
    <row r="6" spans="1:10" x14ac:dyDescent="0.3">
      <c r="A6">
        <v>4</v>
      </c>
      <c r="B6" s="2">
        <v>168.375</v>
      </c>
      <c r="C6" s="2">
        <v>7.6833913326263401</v>
      </c>
      <c r="D6" s="2">
        <v>27.310199260711599</v>
      </c>
      <c r="E6" s="1">
        <v>403.87207436561499</v>
      </c>
      <c r="F6" s="1">
        <v>37.503994464874197</v>
      </c>
      <c r="G6" s="1">
        <v>729.21109652519203</v>
      </c>
      <c r="H6" s="1">
        <v>219</v>
      </c>
      <c r="I6" s="1">
        <f t="shared" si="0"/>
        <v>1592.955755949019</v>
      </c>
      <c r="J6">
        <v>6735</v>
      </c>
    </row>
    <row r="7" spans="1:10" x14ac:dyDescent="0.3">
      <c r="A7">
        <v>5</v>
      </c>
      <c r="B7" s="2">
        <v>196.125</v>
      </c>
      <c r="C7" s="2">
        <v>10.9637138843536</v>
      </c>
      <c r="D7" s="2">
        <v>54.104953289031897</v>
      </c>
      <c r="E7" s="1">
        <v>452.947429895401</v>
      </c>
      <c r="F7" s="1">
        <v>50.598985671996999</v>
      </c>
      <c r="G7" s="1">
        <v>1732.0510022640201</v>
      </c>
      <c r="H7" s="1">
        <v>951</v>
      </c>
      <c r="I7" s="1">
        <f t="shared" si="0"/>
        <v>3447.7910850048038</v>
      </c>
      <c r="J7">
        <v>8440</v>
      </c>
    </row>
    <row r="8" spans="1:10" x14ac:dyDescent="0.3">
      <c r="A8">
        <v>6</v>
      </c>
      <c r="B8" s="1">
        <v>183.43799999999999</v>
      </c>
      <c r="C8" s="1">
        <v>14.826429367065399</v>
      </c>
      <c r="D8" s="1">
        <v>60.107010602951</v>
      </c>
      <c r="E8" s="1">
        <v>423.81655073165803</v>
      </c>
      <c r="F8" s="1">
        <v>48.382621765136697</v>
      </c>
      <c r="G8" s="1">
        <v>935.42</v>
      </c>
      <c r="H8" s="1">
        <v>1086.0154829788198</v>
      </c>
      <c r="I8" s="1">
        <f t="shared" si="0"/>
        <v>2752.0060954456308</v>
      </c>
      <c r="J8">
        <v>7748</v>
      </c>
    </row>
    <row r="9" spans="1:10" x14ac:dyDescent="0.3">
      <c r="A9">
        <v>7</v>
      </c>
      <c r="B9" s="1">
        <v>209.21199999999999</v>
      </c>
      <c r="C9" s="1">
        <v>13.4095432758331</v>
      </c>
      <c r="D9" s="1">
        <v>41.596427202224703</v>
      </c>
      <c r="E9" s="1">
        <v>411.732190132141</v>
      </c>
      <c r="F9" s="1">
        <v>63.611751794815</v>
      </c>
      <c r="G9" s="1">
        <v>966.30499999999995</v>
      </c>
      <c r="H9" s="1">
        <v>1039.8311293792699</v>
      </c>
      <c r="I9" s="1">
        <f t="shared" si="0"/>
        <v>2745.6980417842833</v>
      </c>
      <c r="J9">
        <v>8529</v>
      </c>
    </row>
    <row r="10" spans="1:10" x14ac:dyDescent="0.3">
      <c r="A10">
        <v>8</v>
      </c>
      <c r="B10" s="1">
        <v>215.667</v>
      </c>
      <c r="C10" s="1">
        <v>18.511229991912799</v>
      </c>
      <c r="D10" s="1">
        <v>91.726023912429795</v>
      </c>
      <c r="E10" s="1">
        <v>543.07070112228303</v>
      </c>
      <c r="F10" s="1">
        <v>72.512620449066105</v>
      </c>
      <c r="G10" s="1">
        <v>1514.70491361618</v>
      </c>
      <c r="H10" s="1">
        <v>456</v>
      </c>
      <c r="I10" s="1">
        <f t="shared" si="0"/>
        <v>2912.1924890918717</v>
      </c>
      <c r="J10">
        <v>8870</v>
      </c>
    </row>
    <row r="11" spans="1:10" x14ac:dyDescent="0.3">
      <c r="A11">
        <v>9</v>
      </c>
      <c r="B11" s="1">
        <v>208.667</v>
      </c>
      <c r="C11" s="1">
        <v>11.0362131595611</v>
      </c>
      <c r="D11" s="1">
        <v>35.5283648967742</v>
      </c>
      <c r="E11" s="1">
        <v>406.20574522018399</v>
      </c>
      <c r="F11" s="1">
        <v>64.903727769851599</v>
      </c>
      <c r="G11" s="1">
        <v>834</v>
      </c>
      <c r="H11" s="1">
        <v>254.12915897368998</v>
      </c>
      <c r="I11" s="1">
        <f t="shared" si="0"/>
        <v>1814.4702100200609</v>
      </c>
      <c r="J11">
        <v>8643</v>
      </c>
    </row>
    <row r="12" spans="1:10" x14ac:dyDescent="0.3">
      <c r="A12">
        <v>10</v>
      </c>
      <c r="B12" s="1">
        <v>212.792</v>
      </c>
      <c r="C12" s="1">
        <v>15.334011554718</v>
      </c>
      <c r="D12" s="1">
        <v>56.931931257247903</v>
      </c>
      <c r="E12" s="1">
        <v>462.96866250038101</v>
      </c>
      <c r="F12" s="1">
        <v>63.174245119094799</v>
      </c>
      <c r="G12" s="1">
        <v>1190.23003745079</v>
      </c>
      <c r="H12" s="1">
        <v>388</v>
      </c>
      <c r="I12" s="1">
        <f t="shared" si="0"/>
        <v>2389.4308878822317</v>
      </c>
      <c r="J12">
        <v>8764</v>
      </c>
    </row>
    <row r="13" spans="1:10" x14ac:dyDescent="0.3">
      <c r="A13">
        <v>11</v>
      </c>
      <c r="B13" s="1">
        <v>216.178</v>
      </c>
      <c r="C13" s="1">
        <v>13.009310722351</v>
      </c>
      <c r="D13" s="1">
        <v>57.482803344726499</v>
      </c>
      <c r="E13" s="1">
        <v>479.47435021400401</v>
      </c>
      <c r="F13" s="1">
        <v>52.028832435607903</v>
      </c>
      <c r="G13" s="1">
        <v>819</v>
      </c>
      <c r="H13" s="1">
        <v>307.70003461836995</v>
      </c>
      <c r="I13" s="1">
        <f t="shared" si="0"/>
        <v>1944.8733313350594</v>
      </c>
      <c r="J13">
        <v>8923</v>
      </c>
    </row>
    <row r="14" spans="1:10" x14ac:dyDescent="0.3">
      <c r="A14">
        <v>12</v>
      </c>
      <c r="B14" s="1">
        <v>205.375</v>
      </c>
      <c r="C14" s="1">
        <v>12.752848148345899</v>
      </c>
      <c r="D14" s="1">
        <v>62.8537082672119</v>
      </c>
      <c r="E14" s="1">
        <v>424.86573028564402</v>
      </c>
      <c r="F14" s="1">
        <v>54.650766849517801</v>
      </c>
      <c r="G14" s="1">
        <v>899</v>
      </c>
      <c r="H14" s="1">
        <v>301.14823794363997</v>
      </c>
      <c r="I14" s="1">
        <f t="shared" si="0"/>
        <v>1960.6462914943597</v>
      </c>
      <c r="J14">
        <v>8184</v>
      </c>
    </row>
    <row r="15" spans="1:10" x14ac:dyDescent="0.3">
      <c r="A15">
        <v>13</v>
      </c>
      <c r="B15" s="1">
        <v>212.792</v>
      </c>
      <c r="C15" s="1">
        <v>14.763261795043899</v>
      </c>
      <c r="D15" s="1">
        <v>56.275248050689697</v>
      </c>
      <c r="E15" s="1">
        <v>506.49472308158801</v>
      </c>
      <c r="F15" s="1">
        <v>63.030508995056103</v>
      </c>
      <c r="G15" s="1">
        <v>782</v>
      </c>
      <c r="H15" s="1">
        <v>363.60866117477008</v>
      </c>
      <c r="I15" s="1">
        <f t="shared" si="0"/>
        <v>1998.9644030971479</v>
      </c>
      <c r="J15">
        <v>8452</v>
      </c>
    </row>
    <row r="16" spans="1:10" x14ac:dyDescent="0.3">
      <c r="A16">
        <v>14</v>
      </c>
      <c r="B16" s="1">
        <v>144.709</v>
      </c>
      <c r="C16" s="1">
        <v>9.8862388134002597</v>
      </c>
      <c r="D16" s="1">
        <v>51.849813461303697</v>
      </c>
      <c r="E16" s="1">
        <v>309.07366251945399</v>
      </c>
      <c r="F16" s="1">
        <v>37.793924093246403</v>
      </c>
      <c r="G16" s="1">
        <v>919.59866118431</v>
      </c>
      <c r="H16" s="1">
        <v>346</v>
      </c>
      <c r="I16" s="1">
        <f t="shared" si="0"/>
        <v>1818.9113000717143</v>
      </c>
      <c r="J16">
        <v>5703</v>
      </c>
    </row>
    <row r="17" spans="1:10" x14ac:dyDescent="0.3">
      <c r="A17">
        <v>15</v>
      </c>
      <c r="B17" s="1">
        <v>95.042000000000002</v>
      </c>
      <c r="C17" s="1">
        <v>8.1892597675323398</v>
      </c>
      <c r="D17" s="1">
        <v>32.774611949920597</v>
      </c>
      <c r="E17" s="1">
        <v>192.611353874206</v>
      </c>
      <c r="F17" s="1">
        <v>20.722776889801001</v>
      </c>
      <c r="G17" s="1">
        <v>335</v>
      </c>
      <c r="H17" s="1">
        <v>150.68492698669399</v>
      </c>
      <c r="I17" s="1">
        <f t="shared" si="0"/>
        <v>835.02492946815391</v>
      </c>
      <c r="J17">
        <v>3886</v>
      </c>
    </row>
    <row r="18" spans="1:10" x14ac:dyDescent="0.3">
      <c r="A18">
        <v>16</v>
      </c>
      <c r="B18" s="1">
        <v>215.76</v>
      </c>
      <c r="C18" s="1">
        <v>14.7698283195495</v>
      </c>
      <c r="D18" s="1">
        <v>65.707190275192204</v>
      </c>
      <c r="E18" s="1">
        <v>478.55044078826899</v>
      </c>
      <c r="F18" s="1">
        <v>55.935843944549497</v>
      </c>
      <c r="G18" s="1">
        <v>2158.2972481250699</v>
      </c>
      <c r="H18">
        <v>492</v>
      </c>
      <c r="I18" s="1">
        <f t="shared" si="0"/>
        <v>3481.0205514526301</v>
      </c>
      <c r="J18">
        <v>8526</v>
      </c>
    </row>
    <row r="19" spans="1:10" x14ac:dyDescent="0.3">
      <c r="A19">
        <v>17</v>
      </c>
      <c r="B19" s="1">
        <v>225.625</v>
      </c>
      <c r="C19" s="1">
        <v>16.075879096984799</v>
      </c>
      <c r="D19" s="1">
        <v>61.038947105407701</v>
      </c>
      <c r="E19" s="1">
        <v>476.07784914970398</v>
      </c>
      <c r="F19" s="1">
        <v>55.197545766830402</v>
      </c>
      <c r="G19" s="1">
        <v>753</v>
      </c>
      <c r="H19" s="1">
        <v>444.96698307991005</v>
      </c>
      <c r="I19" s="1">
        <f t="shared" si="0"/>
        <v>2031.9822041988371</v>
      </c>
      <c r="J19">
        <v>9407</v>
      </c>
    </row>
    <row r="20" spans="1:10" x14ac:dyDescent="0.3">
      <c r="A20">
        <v>18</v>
      </c>
      <c r="B20" s="1">
        <v>197.672</v>
      </c>
      <c r="C20" s="1">
        <v>13.5664680004119</v>
      </c>
      <c r="D20" s="1">
        <v>46.0903255939483</v>
      </c>
      <c r="E20" s="1">
        <v>346.10584187507601</v>
      </c>
      <c r="F20" s="1">
        <v>54.068999767303403</v>
      </c>
      <c r="G20" s="1">
        <v>1118.98154067993</v>
      </c>
      <c r="H20" s="1">
        <v>286</v>
      </c>
      <c r="I20" s="1">
        <f t="shared" si="0"/>
        <v>2062.4851759166695</v>
      </c>
      <c r="J20">
        <v>7854</v>
      </c>
    </row>
    <row r="21" spans="1:10" x14ac:dyDescent="0.3">
      <c r="A21">
        <v>19</v>
      </c>
      <c r="B21" s="1">
        <v>229.875</v>
      </c>
      <c r="C21" s="1">
        <v>14.7059004306793</v>
      </c>
      <c r="D21" s="1">
        <v>78.533455371856604</v>
      </c>
      <c r="E21" s="1">
        <v>556.61116647720303</v>
      </c>
      <c r="F21" s="1">
        <v>74.324558019638005</v>
      </c>
      <c r="G21" s="1">
        <v>1246.36531496047</v>
      </c>
      <c r="H21" s="1">
        <v>317</v>
      </c>
      <c r="I21" s="1">
        <f t="shared" si="0"/>
        <v>2517.4153952598472</v>
      </c>
      <c r="J21">
        <v>9560</v>
      </c>
    </row>
    <row r="22" spans="1:10" x14ac:dyDescent="0.3">
      <c r="A22" t="s">
        <v>5</v>
      </c>
      <c r="B22" s="3">
        <f>AVERAGE(B2:B21)</f>
        <v>198.54319999999996</v>
      </c>
      <c r="C22" s="3">
        <f t="shared" ref="C22:H22" si="1">AVERAGE(C2:C21)</f>
        <v>12.96649957895275</v>
      </c>
      <c r="D22" s="3">
        <f t="shared" si="1"/>
        <v>54.956595981121019</v>
      </c>
      <c r="E22" s="3">
        <f t="shared" si="1"/>
        <v>437.36965504884665</v>
      </c>
      <c r="F22" s="3">
        <f t="shared" si="1"/>
        <v>55.258895385265305</v>
      </c>
      <c r="G22" s="3">
        <f t="shared" si="1"/>
        <v>1017.3892407402982</v>
      </c>
      <c r="H22" s="3">
        <f t="shared" si="1"/>
        <v>468.70278577947386</v>
      </c>
      <c r="I22" s="3">
        <f>AVERAGE(I2:I21)</f>
        <v>2245.1868725139575</v>
      </c>
      <c r="J22" s="3">
        <f>AVERAGE(J2:J21)</f>
        <v>8197.75</v>
      </c>
    </row>
    <row r="23" spans="1:10" x14ac:dyDescent="0.3">
      <c r="C23" s="3"/>
      <c r="D23" s="3"/>
      <c r="G23" s="3"/>
      <c r="H23" s="3"/>
      <c r="I23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Thuận Phan</dc:creator>
  <cp:lastModifiedBy>Thuận Phan</cp:lastModifiedBy>
  <dcterms:created xsi:type="dcterms:W3CDTF">2025-11-29T10:45:44Z</dcterms:created>
  <dcterms:modified xsi:type="dcterms:W3CDTF">2026-03-22T16:44:42Z</dcterms:modified>
</cp:coreProperties>
</file>